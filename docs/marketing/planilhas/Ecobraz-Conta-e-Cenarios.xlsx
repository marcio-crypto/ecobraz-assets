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Conta do Cliente" sheetId="2" state="visible" r:id="rId2"/>
    <sheet name="Adote um Bairro" sheetId="3" state="visible" r:id="rId3"/>
    <sheet name="Consignação" sheetId="4" state="visible" r:id="rId4"/>
    <sheet name="Metas 90 d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R$&quot; #,##0;(&quot;R$&quot; #,##0);-"/>
    <numFmt numFmtId="165" formatCode="0.0"/>
    <numFmt numFmtId="166" formatCode="&quot;R$&quot; 0.00"/>
    <numFmt numFmtId="167" formatCode="0.0%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6" fillId="3" borderId="0" pivotButton="0" quotePrefix="0" xfId="0"/>
    <xf numFmtId="1" fontId="6" fillId="3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7" fillId="4" borderId="0" pivotButton="0" quotePrefix="0" xfId="0"/>
    <xf numFmtId="1" fontId="5" fillId="0" borderId="0" pivotButton="0" quotePrefix="0" xfId="0"/>
    <xf numFmtId="165" fontId="5" fillId="0" borderId="0" pivotButton="0" quotePrefix="0" xfId="0"/>
    <xf numFmtId="0" fontId="4" fillId="2" borderId="1" pivotButton="0" quotePrefix="0" xfId="0"/>
    <xf numFmtId="1" fontId="3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167" fontId="6" fillId="3" borderId="0" pivotButton="0" quotePrefix="0" xfId="0"/>
    <xf numFmtId="1" fontId="4" fillId="0" borderId="0" pivotButton="0" quotePrefix="0" xfId="0"/>
    <xf numFmtId="167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5" customWidth="1" min="1" max="1"/>
    <col width="80" customWidth="1" min="3" max="3"/>
  </cols>
  <sheetData>
    <row r="1">
      <c r="A1" s="1" t="inlineStr">
        <is>
          <t>Ecobraz — Conta do Cliente e Cenários</t>
        </is>
      </c>
    </row>
    <row r="2">
      <c r="A2" s="2" t="inlineStr">
        <is>
          <t>Gerada em 25/07/2026 pela equipe de marketing (Claude). Documentos de referência: docs/marketing no repositório.</t>
        </is>
      </c>
    </row>
    <row r="3">
      <c r="A3" s="3" t="inlineStr"/>
    </row>
    <row r="4">
      <c r="A4" s="4" t="inlineStr">
        <is>
          <t>COMO USAR</t>
        </is>
      </c>
    </row>
    <row r="5">
      <c r="A5" s="3" t="inlineStr">
        <is>
          <t>Células AZUIS com fundo amarelo = você pode alterar. Todo o resto recalcula sozinho.</t>
        </is>
      </c>
    </row>
    <row r="6">
      <c r="A6" s="3" t="inlineStr">
        <is>
          <t>Os valores pré-preenchidos são ESTIMATIVAS da equipe — troque pelos números reais da Ecobraz.</t>
        </is>
      </c>
    </row>
    <row r="7">
      <c r="A7" s="3" t="inlineStr"/>
    </row>
    <row r="8">
      <c r="A8" s="4" t="inlineStr">
        <is>
          <t>AS ABAS</t>
        </is>
      </c>
    </row>
    <row r="9">
      <c r="A9" s="3" t="inlineStr">
        <is>
          <t>1. Conta do Cliente</t>
        </is>
      </c>
      <c r="C9" s="3" t="inlineStr">
        <is>
          <t>A conta 'Vender ou Descartar?' em 36 meses — a ferramenta do pitch de venda (doc 12).</t>
        </is>
      </c>
    </row>
    <row r="10">
      <c r="A10" s="3" t="inlineStr">
        <is>
          <t>2. Adote um Bairro</t>
        </is>
      </c>
      <c r="C10" s="3" t="inlineStr">
        <is>
          <t>Precificação por tonelada, margens e teto de receita na capacidade atual (docs 01 e 03).</t>
        </is>
      </c>
    </row>
    <row r="11">
      <c r="A11" s="3" t="inlineStr">
        <is>
          <t>3. Consignação</t>
        </is>
      </c>
      <c r="C11" s="3" t="inlineStr">
        <is>
          <t>Os 4 cenários de lote com a conta aberta (doc 05).</t>
        </is>
      </c>
    </row>
    <row r="12">
      <c r="A12" s="3" t="inlineStr">
        <is>
          <t>4. Metas 90 dias</t>
        </is>
      </c>
      <c r="C12" s="3" t="inlineStr">
        <is>
          <t>Funil da Operação Reconquista: mexa nas taxas e veja a receita projetada.</t>
        </is>
      </c>
    </row>
    <row r="13">
      <c r="A13" s="3" t="inlineStr"/>
    </row>
    <row r="14">
      <c r="A14" s="4" t="inlineStr">
        <is>
          <t>HONESTIDADE</t>
        </is>
      </c>
    </row>
    <row r="15">
      <c r="A15" s="3" t="inlineStr">
        <is>
          <t>Nada aqui é promessa: são contas com premissas visíveis. Onde o número é estimativa, está em azul para você corrigir.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</cols>
  <sheetData>
    <row r="1">
      <c r="A1" s="1" t="inlineStr">
        <is>
          <t>Vender ou Descartar? — a conta em 36 meses</t>
        </is>
      </c>
    </row>
    <row r="2">
      <c r="A2" s="2" t="inlineStr">
        <is>
          <t>Ferramenta do pitch 'A Conta que Ninguém Fez'. Preencha com os números DO CLIENTE na reunião.</t>
        </is>
      </c>
    </row>
    <row r="4">
      <c r="A4" s="5" t="inlineStr">
        <is>
          <t>O QUE O CLIENTE INFORMA (células amarelas)</t>
        </is>
      </c>
    </row>
    <row r="5">
      <c r="A5" s="6" t="inlineStr">
        <is>
          <t>Valor que ele receberia vendendo/leiloando o lote (uma vez)</t>
        </is>
      </c>
      <c r="B5" s="7" t="n">
        <v>150000</v>
      </c>
    </row>
    <row r="6">
      <c r="A6" s="6" t="inlineStr">
        <is>
          <t>Gasto ANUAL com sistema/plataforma de ESG</t>
        </is>
      </c>
      <c r="B6" s="7" t="n">
        <v>36000</v>
      </c>
    </row>
    <row r="7">
      <c r="A7" s="6" t="inlineStr">
        <is>
          <t>Gasto ANUAL com mão de obra alimentando dados de ESG</t>
        </is>
      </c>
      <c r="B7" s="7" t="n">
        <v>90000</v>
      </c>
    </row>
    <row r="8">
      <c r="A8" s="6" t="inlineStr">
        <is>
          <t>Gasto ANUAL com validação/auditoria de relatórios</t>
        </is>
      </c>
      <c r="B8" s="7" t="n">
        <v>30000</v>
      </c>
    </row>
    <row r="9">
      <c r="A9" s="6" t="inlineStr">
        <is>
          <t>Prazo da comparação (meses) — igual ao contrato Ecobraz</t>
        </is>
      </c>
      <c r="B9" s="8" t="n">
        <v>36</v>
      </c>
    </row>
    <row r="11">
      <c r="A11" s="5" t="inlineStr">
        <is>
          <t>CUSTOS DE ESG NO PERÍODO</t>
        </is>
      </c>
    </row>
    <row r="12">
      <c r="A12" s="6" t="inlineStr">
        <is>
          <t>Total de custos de ESG que o cliente paga no período</t>
        </is>
      </c>
      <c r="B12" s="9">
        <f>(B6+B7+B8)*(B9/12)</f>
        <v/>
      </c>
    </row>
    <row r="14">
      <c r="A14" s="5" t="inlineStr">
        <is>
          <t>CAMINHO 1 — VENDER/LEILOAR</t>
        </is>
      </c>
    </row>
    <row r="15">
      <c r="A15" s="6" t="inlineStr">
        <is>
          <t>(+) Receita da venda do lote (uma vez)</t>
        </is>
      </c>
      <c r="B15" s="10">
        <f>B5</f>
        <v/>
      </c>
    </row>
    <row r="16">
      <c r="A16" s="6" t="inlineStr">
        <is>
          <t>(−) Custos de ESG que CONTINUAM (nada foi resolvido)</t>
        </is>
      </c>
      <c r="B16" s="10">
        <f>-B12</f>
        <v/>
      </c>
    </row>
    <row r="17">
      <c r="A17" s="6">
        <f> Saldo do caminho VENDER (sem contar o risco)</f>
        <v/>
      </c>
      <c r="B17" s="9">
        <f>B15+B16</f>
        <v/>
      </c>
    </row>
    <row r="18">
      <c r="A18" s="2" t="inlineStr">
        <is>
          <t>Risco não incluído na conta: violação de dados média no Brasil = R$ 7,19 milhões (IBM, 2025) + passivo ambiental (Lei 12.305)</t>
        </is>
      </c>
    </row>
    <row r="20">
      <c r="A20" s="5" t="inlineStr">
        <is>
          <t>CAMINHO 2 — CONTRATO ECOBRAZ</t>
        </is>
      </c>
    </row>
    <row r="21">
      <c r="A21" s="6" t="inlineStr">
        <is>
          <t>(+) Receita pelo material</t>
        </is>
      </c>
      <c r="B21" s="10">
        <f>0</f>
        <v/>
      </c>
    </row>
    <row r="22">
      <c r="A22" s="6" t="inlineStr">
        <is>
          <t>(+) Custos de ESG ELIMINADOS (nós entregamos tudo pronto)</t>
        </is>
      </c>
      <c r="B22" s="10">
        <f>B12</f>
        <v/>
      </c>
    </row>
    <row r="23">
      <c r="A23" s="6">
        <f> Saldo do caminho ECOBRAZ</f>
        <v/>
      </c>
      <c r="B23" s="9">
        <f>B21+B22</f>
        <v/>
      </c>
    </row>
    <row r="25">
      <c r="A25" s="5" t="inlineStr">
        <is>
          <t>RESULTADO</t>
        </is>
      </c>
    </row>
    <row r="26">
      <c r="A26" s="6" t="inlineStr">
        <is>
          <t>Vantagem financeira do contrato Ecobraz sobre a venda</t>
        </is>
      </c>
      <c r="B26" s="11">
        <f>B23-B17</f>
        <v/>
      </c>
    </row>
    <row r="27">
      <c r="A27" s="2" t="inlineStr">
        <is>
          <t>(e o risco de LGPD/ambiental fica em zero — o que só aumenta a vantagem)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Adote um Bairro — precificação e capacidade</t>
        </is>
      </c>
    </row>
    <row r="2">
      <c r="A2" s="2" t="inlineStr">
        <is>
          <t>Tabela v2 (calibrada pela pesquisa de mercado, doc 03). Preços em azul = proposta aguardando o martelo do Marcio.</t>
        </is>
      </c>
    </row>
    <row r="4">
      <c r="A4" s="5" t="inlineStr">
        <is>
          <t>PREMISSAS OPERACIONAIS</t>
        </is>
      </c>
    </row>
    <row r="5">
      <c r="A5" s="6" t="inlineStr">
        <is>
          <t>Custo médio por coleta PF</t>
        </is>
      </c>
      <c r="B5" s="7" t="n">
        <v>35</v>
      </c>
    </row>
    <row r="6">
      <c r="A6" s="6" t="inlineStr">
        <is>
          <t>Peso médio por coleta (kg)</t>
        </is>
      </c>
      <c r="B6" s="8" t="n">
        <v>20</v>
      </c>
    </row>
    <row r="7">
      <c r="A7" s="6" t="inlineStr">
        <is>
          <t>Custo de processamento por tonelada (ESTIMATIVA — validar)</t>
        </is>
      </c>
      <c r="B7" s="7" t="n">
        <v>1250</v>
      </c>
    </row>
    <row r="8">
      <c r="A8" s="6" t="inlineStr">
        <is>
          <t>Coletas PF por mês</t>
        </is>
      </c>
      <c r="B8" s="8" t="n">
        <v>225</v>
      </c>
    </row>
    <row r="10">
      <c r="A10" s="6" t="inlineStr">
        <is>
          <t>Coletas por tonelada</t>
        </is>
      </c>
      <c r="B10" s="12">
        <f>1000/B6</f>
        <v/>
      </c>
    </row>
    <row r="11">
      <c r="A11" s="6" t="inlineStr">
        <is>
          <t>Custo de coleta por tonelada</t>
        </is>
      </c>
      <c r="B11" s="10">
        <f>B10*B5</f>
        <v/>
      </c>
    </row>
    <row r="12">
      <c r="A12" s="6" t="inlineStr">
        <is>
          <t>CUSTO TOTAL por tonelada</t>
        </is>
      </c>
      <c r="B12" s="9">
        <f>B11+B7</f>
        <v/>
      </c>
    </row>
    <row r="13">
      <c r="A13" s="6" t="inlineStr">
        <is>
          <t>Produção atual (toneladas/mês)</t>
        </is>
      </c>
      <c r="B13" s="13">
        <f>B8*B6/1000</f>
        <v/>
      </c>
    </row>
    <row r="15">
      <c r="A15" s="5" t="inlineStr">
        <is>
          <t>TABELA DE PLANOS</t>
        </is>
      </c>
    </row>
    <row r="16">
      <c r="A16" s="14" t="inlineStr">
        <is>
          <t>Plano</t>
        </is>
      </c>
      <c r="B16" s="14" t="inlineStr">
        <is>
          <t>Toneladas</t>
        </is>
      </c>
      <c r="C16" s="14" t="inlineStr">
        <is>
          <t>Preço</t>
        </is>
      </c>
      <c r="D16" s="14" t="inlineStr">
        <is>
          <t>R$/kg</t>
        </is>
      </c>
      <c r="E16" s="14" t="inlineStr">
        <is>
          <t>≈ Lares</t>
        </is>
      </c>
      <c r="F16" s="14" t="inlineStr">
        <is>
          <t>Custo estimado</t>
        </is>
      </c>
      <c r="G16" s="14" t="inlineStr">
        <is>
          <t>Margem R$</t>
        </is>
      </c>
      <c r="H16" s="14" t="inlineStr">
        <is>
          <t>Margem %</t>
        </is>
      </c>
    </row>
    <row r="17">
      <c r="A17" s="6" t="inlineStr">
        <is>
          <t>Bairro</t>
        </is>
      </c>
      <c r="B17" s="15" t="n">
        <v>1</v>
      </c>
      <c r="C17" s="7" t="n">
        <v>7500</v>
      </c>
      <c r="D17" s="16">
        <f>C17/(B17*1000)</f>
        <v/>
      </c>
      <c r="E17" s="12">
        <f>B17*$B$10</f>
        <v/>
      </c>
      <c r="F17" s="10">
        <f>B17*$B$12</f>
        <v/>
      </c>
      <c r="G17" s="10">
        <f>C17-F17</f>
        <v/>
      </c>
      <c r="H17" s="17">
        <f>IF(C17=0,0,G17/C17)</f>
        <v/>
      </c>
    </row>
    <row r="18">
      <c r="A18" s="6" t="inlineStr">
        <is>
          <t>Comunidade</t>
        </is>
      </c>
      <c r="B18" s="15" t="n">
        <v>3</v>
      </c>
      <c r="C18" s="7" t="n">
        <v>19500</v>
      </c>
      <c r="D18" s="16">
        <f>C18/(B18*1000)</f>
        <v/>
      </c>
      <c r="E18" s="12">
        <f>B18*$B$10</f>
        <v/>
      </c>
      <c r="F18" s="10">
        <f>B18*$B$12</f>
        <v/>
      </c>
      <c r="G18" s="10">
        <f>C18-F18</f>
        <v/>
      </c>
      <c r="H18" s="17">
        <f>IF(C18=0,0,G18/C18)</f>
        <v/>
      </c>
    </row>
    <row r="19">
      <c r="A19" s="6" t="inlineStr">
        <is>
          <t>Distrito</t>
        </is>
      </c>
      <c r="B19" s="15" t="n">
        <v>5</v>
      </c>
      <c r="C19" s="7" t="n">
        <v>29500</v>
      </c>
      <c r="D19" s="16">
        <f>C19/(B19*1000)</f>
        <v/>
      </c>
      <c r="E19" s="12">
        <f>B19*$B$10</f>
        <v/>
      </c>
      <c r="F19" s="10">
        <f>B19*$B$12</f>
        <v/>
      </c>
      <c r="G19" s="10">
        <f>C19-F19</f>
        <v/>
      </c>
      <c r="H19" s="17">
        <f>IF(C19=0,0,G19/C19)</f>
        <v/>
      </c>
    </row>
    <row r="20">
      <c r="A20" s="6" t="inlineStr">
        <is>
          <t>Cidade</t>
        </is>
      </c>
      <c r="B20" s="15" t="n">
        <v>10</v>
      </c>
      <c r="C20" s="7" t="n">
        <v>49000</v>
      </c>
      <c r="D20" s="16">
        <f>C20/(B20*1000)</f>
        <v/>
      </c>
      <c r="E20" s="12">
        <f>B20*$B$10</f>
        <v/>
      </c>
      <c r="F20" s="10">
        <f>B20*$B$12</f>
        <v/>
      </c>
      <c r="G20" s="10">
        <f>C20-F20</f>
        <v/>
      </c>
      <c r="H20" s="17">
        <f>IF(C20=0,0,G20/C20)</f>
        <v/>
      </c>
    </row>
    <row r="21">
      <c r="A21" s="6" t="inlineStr">
        <is>
          <t>Anual (1 t/mês)</t>
        </is>
      </c>
      <c r="B21" s="15" t="n">
        <v>12</v>
      </c>
      <c r="C21" s="7" t="n">
        <v>60000</v>
      </c>
      <c r="D21" s="16">
        <f>C21/(B21*1000)</f>
        <v/>
      </c>
      <c r="E21" s="12">
        <f>B21*$B$10</f>
        <v/>
      </c>
      <c r="F21" s="10">
        <f>B21*$B$12</f>
        <v/>
      </c>
      <c r="G21" s="10">
        <f>C21-F21</f>
        <v/>
      </c>
      <c r="H21" s="17">
        <f>IF(C21=0,0,G21/C21)</f>
        <v/>
      </c>
    </row>
    <row r="23">
      <c r="A23" s="5" t="inlineStr">
        <is>
          <t>TETO DE RECEITA NA CAPACIDADE ATUAL</t>
        </is>
      </c>
    </row>
    <row r="24">
      <c r="A24" s="6" t="inlineStr">
        <is>
          <t>Preço médio esperado por tonelada vendida</t>
        </is>
      </c>
      <c r="B24" s="7" t="n">
        <v>5500</v>
      </c>
    </row>
    <row r="25">
      <c r="A25" s="6" t="inlineStr">
        <is>
          <t>Receita máxima mensal (produção × preço médio)</t>
        </is>
      </c>
      <c r="B25" s="9">
        <f>B13*B24</f>
        <v/>
      </c>
    </row>
    <row r="26">
      <c r="A26" s="6" t="inlineStr">
        <is>
          <t>Cobertura do déficit da coleta PF (custo PF mensal)</t>
        </is>
      </c>
      <c r="B26" s="10">
        <f>B8*B5</f>
        <v/>
      </c>
    </row>
    <row r="27">
      <c r="A27" s="2" t="inlineStr">
        <is>
          <t>Nota: teto ≈ 15–18% do buraco de R$ 200 mil/mês — o Adote complementa, não resolve sozinho (doc 03).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Consignação certificada — 4 cenários (conta aberta)</t>
        </is>
      </c>
    </row>
    <row r="2">
      <c r="A2" s="2" t="inlineStr">
        <is>
          <t>Doc 05. Valores de serviço em azul = estimativas; troque pelos custos reais. Cenário D mostra a cerca anti-canibalização.</t>
        </is>
      </c>
    </row>
    <row r="4">
      <c r="A4" s="14" t="inlineStr"/>
      <c r="B4" s="14" t="inlineStr">
        <is>
          <t>A — 100 notebooks 3 anos</t>
        </is>
      </c>
      <c r="C4" s="14" t="inlineStr">
        <is>
          <t>B — Lote misto</t>
        </is>
      </c>
      <c r="D4" s="14" t="inlineStr">
        <is>
          <t>C — Data center</t>
        </is>
      </c>
      <c r="E4" s="14" t="inlineStr">
        <is>
          <t>D — Lote de doador (velho)</t>
        </is>
      </c>
    </row>
    <row r="5">
      <c r="A5" s="6" t="inlineStr">
        <is>
          <t>Venda bruta estimada no leilão</t>
        </is>
      </c>
      <c r="B5" s="7" t="n">
        <v>90000</v>
      </c>
      <c r="C5" s="7" t="n">
        <v>19600</v>
      </c>
      <c r="D5" s="7" t="n">
        <v>35000</v>
      </c>
      <c r="E5" s="7" t="n">
        <v>900</v>
      </c>
    </row>
    <row r="6">
      <c r="A6" s="6" t="inlineStr">
        <is>
          <t>Comissão da plataforma (%)</t>
        </is>
      </c>
      <c r="B6" s="18" t="n">
        <v>0.08</v>
      </c>
      <c r="C6" s="18" t="n">
        <v>0.08</v>
      </c>
      <c r="D6" s="18" t="n">
        <v>0.08</v>
      </c>
      <c r="E6" s="18" t="n">
        <v>0.08</v>
      </c>
    </row>
    <row r="7">
      <c r="A7" s="6" t="inlineStr">
        <is>
          <t>Serviços — triagem/preparo</t>
        </is>
      </c>
      <c r="B7" s="7" t="n">
        <v>5000</v>
      </c>
      <c r="C7" s="7" t="n">
        <v>2800</v>
      </c>
      <c r="D7" s="7" t="n">
        <v>2000</v>
      </c>
      <c r="E7" s="7" t="n">
        <v>500</v>
      </c>
    </row>
    <row r="8">
      <c r="A8" s="6" t="inlineStr">
        <is>
          <t>Serviços — sanitização/destruição de mídias</t>
        </is>
      </c>
      <c r="B8" s="7" t="n">
        <v>6000</v>
      </c>
      <c r="C8" s="7" t="n">
        <v>4200</v>
      </c>
      <c r="D8" s="7" t="n">
        <v>3200</v>
      </c>
      <c r="E8" s="7" t="n">
        <v>0</v>
      </c>
    </row>
    <row r="9">
      <c r="A9" s="6" t="inlineStr">
        <is>
          <t>Serviços — logística</t>
        </is>
      </c>
      <c r="B9" s="7" t="n">
        <v>2000</v>
      </c>
      <c r="C9" s="7" t="n">
        <v>2000</v>
      </c>
      <c r="D9" s="7" t="n">
        <v>4000</v>
      </c>
      <c r="E9" s="7" t="n">
        <v>1500</v>
      </c>
    </row>
    <row r="10">
      <c r="A10" s="6" t="inlineStr">
        <is>
          <t>Serviços — destinação do refugo</t>
        </is>
      </c>
      <c r="B10" s="7" t="n">
        <v>600</v>
      </c>
      <c r="C10" s="7" t="n">
        <v>960</v>
      </c>
      <c r="D10" s="7" t="n">
        <v>500</v>
      </c>
      <c r="E10" s="7" t="n">
        <v>500</v>
      </c>
    </row>
    <row r="11">
      <c r="A11" s="6" t="inlineStr">
        <is>
          <t>Split do cliente sobre o líquido (%)</t>
        </is>
      </c>
      <c r="B11" s="18" t="n">
        <v>0.7</v>
      </c>
      <c r="C11" s="18" t="n">
        <v>0.7</v>
      </c>
      <c r="D11" s="18" t="n">
        <v>0.7</v>
      </c>
      <c r="E11" s="18" t="n">
        <v>0.7</v>
      </c>
    </row>
    <row r="13">
      <c r="A13" s="6" t="inlineStr">
        <is>
          <t>Comissão (R$)</t>
        </is>
      </c>
      <c r="B13" s="10">
        <f>B5*B6</f>
        <v/>
      </c>
      <c r="C13" s="10">
        <f>C5*C6</f>
        <v/>
      </c>
      <c r="D13" s="10">
        <f>D5*D6</f>
        <v/>
      </c>
      <c r="E13" s="10">
        <f>E5*E6</f>
        <v/>
      </c>
    </row>
    <row r="14">
      <c r="A14" s="6" t="inlineStr">
        <is>
          <t>Serviços Ecobraz (total)</t>
        </is>
      </c>
      <c r="B14" s="10">
        <f>SUM(B7:B10)</f>
        <v/>
      </c>
      <c r="C14" s="10">
        <f>SUM(C7:C10)</f>
        <v/>
      </c>
      <c r="D14" s="10">
        <f>SUM(D7:D10)</f>
        <v/>
      </c>
      <c r="E14" s="10">
        <f>SUM(E7:E10)</f>
        <v/>
      </c>
    </row>
    <row r="15">
      <c r="A15" s="6" t="inlineStr">
        <is>
          <t>Líquido a dividir</t>
        </is>
      </c>
      <c r="B15" s="10">
        <f>B5-B13-B14</f>
        <v/>
      </c>
      <c r="C15" s="10">
        <f>C5-C13-C14</f>
        <v/>
      </c>
      <c r="D15" s="10">
        <f>D5-D13-D14</f>
        <v/>
      </c>
      <c r="E15" s="10">
        <f>E5-E13-E14</f>
        <v/>
      </c>
    </row>
    <row r="16">
      <c r="A16" s="4" t="inlineStr">
        <is>
          <t>CLIENTE recebe</t>
        </is>
      </c>
      <c r="B16" s="9">
        <f>MAX(0,B15)*B11</f>
        <v/>
      </c>
      <c r="C16" s="9">
        <f>MAX(0,C15)*C11</f>
        <v/>
      </c>
      <c r="D16" s="9">
        <f>MAX(0,D15)*D11</f>
        <v/>
      </c>
      <c r="E16" s="9">
        <f>MAX(0,E15)*E11</f>
        <v/>
      </c>
    </row>
    <row r="17">
      <c r="A17" s="4" t="inlineStr">
        <is>
          <t>ECOBRAZ recebe (serviços + split)</t>
        </is>
      </c>
      <c r="B17" s="9">
        <f>B14+MAX(0,B15)*(1-B11)</f>
        <v/>
      </c>
      <c r="C17" s="9">
        <f>C14+MAX(0,C15)*(1-C11)</f>
        <v/>
      </c>
      <c r="D17" s="9">
        <f>D14+MAX(0,D15)*(1-D11)</f>
        <v/>
      </c>
      <c r="E17" s="9">
        <f>E14+MAX(0,E15)*(1-E11)</f>
        <v/>
      </c>
    </row>
    <row r="18">
      <c r="A18" s="6" t="inlineStr">
        <is>
          <t>Recomendação automática</t>
        </is>
      </c>
      <c r="B18" s="6">
        <f>IF(B15&lt;0,"DOAÇÃO com documentação","Consignação viável")</f>
        <v/>
      </c>
      <c r="C18" s="6">
        <f>IF(C15&lt;0,"DOAÇÃO com documentação","Consignação viável")</f>
        <v/>
      </c>
      <c r="D18" s="6">
        <f>IF(D15&lt;0,"DOAÇÃO com documentação","Consignação viável")</f>
        <v/>
      </c>
      <c r="E18" s="6">
        <f>IF(E15&lt;0,"DOAÇÃO com documentação","Consignação viável")</f>
        <v/>
      </c>
    </row>
    <row r="20">
      <c r="A20" s="2" t="inlineStr">
        <is>
          <t>Nota: se o líquido for negativo, a avaliação recomenda a doação gratuita — é a matemática protegendo a base doadora (doc 04).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</cols>
  <sheetData>
    <row r="1">
      <c r="A1" s="1" t="inlineStr">
        <is>
          <t>Operação Reconquista — funil e receita projetada</t>
        </is>
      </c>
    </row>
    <row r="2">
      <c r="A2" s="2" t="inlineStr">
        <is>
          <t>Mexa nas taxas (azul) e veja o impacto. Metas iniciais = estimativas a calibrar com 30 dias de dados reais.</t>
        </is>
      </c>
    </row>
    <row r="4">
      <c r="A4" s="5" t="inlineStr">
        <is>
          <t>FUNIL (90 dias)</t>
        </is>
      </c>
    </row>
    <row r="5">
      <c r="A5" s="6" t="inlineStr">
        <is>
          <t>Contas abordadas por semana</t>
        </is>
      </c>
      <c r="B5" s="8" t="n">
        <v>20</v>
      </c>
    </row>
    <row r="6">
      <c r="A6" s="6" t="inlineStr">
        <is>
          <t>Semanas de campanha</t>
        </is>
      </c>
      <c r="B6" s="8" t="n">
        <v>12</v>
      </c>
    </row>
    <row r="7">
      <c r="A7" s="6" t="inlineStr">
        <is>
          <t>Taxa de resposta (base morna)</t>
        </is>
      </c>
      <c r="B7" s="18" t="n">
        <v>0.2</v>
      </c>
    </row>
    <row r="8">
      <c r="A8" s="6" t="inlineStr">
        <is>
          <t>Respostas que viram proposta</t>
        </is>
      </c>
      <c r="B8" s="18" t="n">
        <v>0.5</v>
      </c>
    </row>
    <row r="9">
      <c r="A9" s="6" t="inlineStr">
        <is>
          <t>Propostas que viram contrato</t>
        </is>
      </c>
      <c r="B9" s="18" t="n">
        <v>0.3</v>
      </c>
    </row>
    <row r="11">
      <c r="A11" s="6" t="inlineStr">
        <is>
          <t>Contas abordadas (total)</t>
        </is>
      </c>
      <c r="B11" s="12">
        <f>B5*B6</f>
        <v/>
      </c>
    </row>
    <row r="12">
      <c r="A12" s="6" t="inlineStr">
        <is>
          <t>Respostas</t>
        </is>
      </c>
      <c r="B12" s="12">
        <f>B11*B7</f>
        <v/>
      </c>
    </row>
    <row r="13">
      <c r="A13" s="6" t="inlineStr">
        <is>
          <t>Propostas</t>
        </is>
      </c>
      <c r="B13" s="12">
        <f>B12*B8</f>
        <v/>
      </c>
    </row>
    <row r="14">
      <c r="A14" s="6" t="inlineStr">
        <is>
          <t>CONTRATOS assinados</t>
        </is>
      </c>
      <c r="B14" s="19">
        <f>B13*B9</f>
        <v/>
      </c>
    </row>
    <row r="16">
      <c r="A16" s="5" t="inlineStr">
        <is>
          <t>RECEITA NOVA PROJETADA (mensal, em regime)</t>
        </is>
      </c>
    </row>
    <row r="17">
      <c r="A17" s="6" t="inlineStr">
        <is>
          <t>Material de leilão recuperado por contrato (R$/mês)</t>
        </is>
      </c>
      <c r="B17" s="7" t="n">
        <v>10000</v>
      </c>
    </row>
    <row r="18">
      <c r="A18" s="6" t="inlineStr">
        <is>
          <t>Cotas Adote um Bairro vendidas no período</t>
        </is>
      </c>
      <c r="B18" s="8" t="n">
        <v>3</v>
      </c>
    </row>
    <row r="19">
      <c r="A19" s="6" t="inlineStr">
        <is>
          <t>Receita mensal média por cota</t>
        </is>
      </c>
      <c r="B19" s="7" t="n">
        <v>5000</v>
      </c>
    </row>
    <row r="21">
      <c r="A21" s="6" t="inlineStr">
        <is>
          <t>Receita nova de material (leilão)</t>
        </is>
      </c>
      <c r="B21" s="10">
        <f>B14*B17</f>
        <v/>
      </c>
    </row>
    <row r="22">
      <c r="A22" s="6" t="inlineStr">
        <is>
          <t>Receita nova do Adote um Bairro</t>
        </is>
      </c>
      <c r="B22" s="10">
        <f>B18*B19</f>
        <v/>
      </c>
    </row>
    <row r="23">
      <c r="A23" s="6" t="inlineStr">
        <is>
          <t>TOTAL de receita nova por mês</t>
        </is>
      </c>
      <c r="B23" s="11">
        <f>B21+B22</f>
        <v/>
      </c>
    </row>
    <row r="24">
      <c r="A24" s="6" t="inlineStr">
        <is>
          <t>Buraco a fechar (R$ 550 mil − R$ 350 mil)</t>
        </is>
      </c>
      <c r="B24" s="7" t="n">
        <v>200000</v>
      </c>
    </row>
    <row r="25">
      <c r="A25" s="6" t="inlineStr">
        <is>
          <t>% do buraco fechado por esta campanha</t>
        </is>
      </c>
      <c r="B25" s="20">
        <f>B23/B24</f>
        <v/>
      </c>
    </row>
    <row r="27">
      <c r="A27" s="2" t="inlineStr">
        <is>
          <t>Fonte dos números fixos: faturamento e meta informados pelo Marcio em 25/07/2026; taxas de funil = referências de mercado (doc 10).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2026-07-25T19:10:16Z</dcterms:created>
  <dcterms:modified xsi:type="dcterms:W3CDTF">2026-07-25T19:10:16Z</dcterms:modified>
</cp:coreProperties>
</file>